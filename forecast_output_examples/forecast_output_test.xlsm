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mf_excel_original\"/>
    </mc:Choice>
  </mc:AlternateContent>
  <xr:revisionPtr revIDLastSave="0" documentId="13_ncr:1_{2A1EC25F-553E-4B55-908D-1544101A0165}" xr6:coauthVersionLast="47" xr6:coauthVersionMax="47" xr10:uidLastSave="{00000000-0000-0000-0000-000000000000}"/>
  <bookViews>
    <workbookView xWindow="28680" yWindow="-120" windowWidth="29040" windowHeight="15720" activeTab="6" xr2:uid="{262A4870-4779-473E-B23B-7115E2AEEF61}"/>
  </bookViews>
  <sheets>
    <sheet name="Settings" sheetId="7" r:id="rId1"/>
    <sheet name="Diagnostics" sheetId="12" r:id="rId2"/>
    <sheet name="Output_model" sheetId="11" r:id="rId3"/>
    <sheet name="Output_df2" sheetId="10" r:id="rId4"/>
    <sheet name="Output_df1" sheetId="9" r:id="rId5"/>
    <sheet name="Output_df0" sheetId="8" r:id="rId6"/>
    <sheet name="Control" sheetId="6" r:id="rId7"/>
    <sheet name="Input" sheetId="1" r:id="rId8"/>
    <sheet name="Constraints" sheetId="2" r:id="rId9"/>
  </sheet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<sst xmlns="http://schemas.openxmlformats.org/spreadsheetml/2006/main" count="82" uniqueCount="37">
  <si>
    <t>Year</t>
  </si>
  <si>
    <t>exp</t>
  </si>
  <si>
    <t>rev</t>
  </si>
  <si>
    <t>int_payments</t>
  </si>
  <si>
    <t>pb</t>
  </si>
  <si>
    <t>Equality Constraints</t>
  </si>
  <si>
    <t>pb? - rev? + exp? - int_payments?</t>
  </si>
  <si>
    <t>exp_2030 = 37</t>
  </si>
  <si>
    <t>int_payments? - 3.5</t>
  </si>
  <si>
    <t>2.5 - int_payments?</t>
  </si>
  <si>
    <t>Inequality Constraints</t>
  </si>
  <si>
    <t>forecaster</t>
  </si>
  <si>
    <t>shrinkage_method</t>
  </si>
  <si>
    <t>oas</t>
  </si>
  <si>
    <t>default_lam</t>
  </si>
  <si>
    <t>max_lam</t>
  </si>
  <si>
    <t>parallelize</t>
  </si>
  <si>
    <t>pca_n_components</t>
  </si>
  <si>
    <t>ols</t>
  </si>
  <si>
    <t>index</t>
  </si>
  <si>
    <t>PreprocessingForecaster(inner=LinearRegression())</t>
  </si>
  <si>
    <t>key</t>
  </si>
  <si>
    <t>value</t>
  </si>
  <si>
    <t>constraints_equality</t>
  </si>
  <si>
    <t>['pb? - rev? + exp? - int_payments?', 'exp_2030 - (37)']</t>
  </si>
  <si>
    <t>constraints_inequality</t>
  </si>
  <si>
    <t>['int_payments? - 3.5', '2.5 - int_payments?']</t>
  </si>
  <si>
    <t>forecaster_requested</t>
  </si>
  <si>
    <t>forecaster_used</t>
  </si>
  <si>
    <t>lambda_summary</t>
  </si>
  <si>
    <t>['267.8513669562917', '15.868306546905117', '4.199755465529379', '19.3177314953674']</t>
  </si>
  <si>
    <t>n_eq_constraints</t>
  </si>
  <si>
    <t>shrinkage</t>
  </si>
  <si>
    <t>single_series</t>
  </si>
  <si>
    <t>smoothing_matrix_shape</t>
  </si>
  <si>
    <t>(24, 24)</t>
  </si>
  <si>
    <t>weight_matrix_shape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</si>
</sst>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Fill="0" applyProtection="0"/>
  </cellStyleXfs>
  <cellXfs count="15">
    <xf numFmtId="0" fontId="0" fillId="0" borderId="0" xfId="0"/>
    <xf numFmtId="0" fontId="0" fillId="0" borderId="1" xfId="0" applyBorder="1"/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2" fontId="0" fillId="0" borderId="1" xfId="0" applyNumberFormat="1" applyBorder="1"/>
    <xf numFmtId="0" fontId="6" fillId="0" borderId="1" xfId="1" applyFill="1" applyBorder="1" applyProtection="1"/>
    <xf numFmtId="2" fontId="6" fillId="0" borderId="1" xfId="1" applyNumberFormat="1" applyFill="1" applyBorder="1" applyProtection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4" fontId="4" fillId="0" borderId="0" xfId="0" applyNumberFormat="1" applyFont="1" applyAlignment="1">
      <alignment vertical="center"/>
    </xf>
  </cellXfs>
  <cellStyles count="2">
    <cellStyle name="Normal" xfId="0" builtinId="0"/>
    <cellStyle name="Normal 2" xfId="1" xr:uid="{C18DF3E2-CD71-485F-B644-EDB6A1A0CBCD}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exp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Output_df2!$B$2:$B$31</c:f>
              <c:numCache>
                <c:formatCode>General</c:formatCode>
                <c:ptCount val="30"/>
                <c:pt idx="0">
                  <c:v>32.801000000000002</c:v>
                </c:pt>
                <c:pt idx="1">
                  <c:v>33.698</c:v>
                </c:pt>
                <c:pt idx="2">
                  <c:v>34.036999999999999</c:v>
                </c:pt>
                <c:pt idx="3">
                  <c:v>33.719000000000001</c:v>
                </c:pt>
                <c:pt idx="4">
                  <c:v>33.927999999999997</c:v>
                </c:pt>
                <c:pt idx="5">
                  <c:v>33.692</c:v>
                </c:pt>
                <c:pt idx="6">
                  <c:v>34.561999999999998</c:v>
                </c:pt>
                <c:pt idx="7">
                  <c:v>37.143999999999998</c:v>
                </c:pt>
                <c:pt idx="8">
                  <c:v>41.399000000000001</c:v>
                </c:pt>
                <c:pt idx="9">
                  <c:v>39.762999999999998</c:v>
                </c:pt>
                <c:pt idx="10">
                  <c:v>38.795999999999999</c:v>
                </c:pt>
                <c:pt idx="11">
                  <c:v>37.222999999999999</c:v>
                </c:pt>
                <c:pt idx="12">
                  <c:v>35.781999999999996</c:v>
                </c:pt>
                <c:pt idx="13">
                  <c:v>35.323999999999998</c:v>
                </c:pt>
                <c:pt idx="14">
                  <c:v>35.030999999999999</c:v>
                </c:pt>
                <c:pt idx="15">
                  <c:v>35.332999999999998</c:v>
                </c:pt>
                <c:pt idx="16">
                  <c:v>35.194000000000003</c:v>
                </c:pt>
                <c:pt idx="17">
                  <c:v>35.348999999999997</c:v>
                </c:pt>
                <c:pt idx="18">
                  <c:v>35.819000000000003</c:v>
                </c:pt>
                <c:pt idx="19">
                  <c:v>44.779000000000003</c:v>
                </c:pt>
                <c:pt idx="20">
                  <c:v>43.218000000000004</c:v>
                </c:pt>
                <c:pt idx="21">
                  <c:v>36.829000000000001</c:v>
                </c:pt>
                <c:pt idx="22">
                  <c:v>37.113</c:v>
                </c:pt>
                <c:pt idx="23">
                  <c:v>37.593000000000004</c:v>
                </c:pt>
                <c:pt idx="24">
                  <c:v>37.049844243568103</c:v>
                </c:pt>
                <c:pt idx="25">
                  <c:v>37.042003901848901</c:v>
                </c:pt>
                <c:pt idx="26">
                  <c:v>37.0364110653165</c:v>
                </c:pt>
                <c:pt idx="27">
                  <c:v>37.031410354043203</c:v>
                </c:pt>
                <c:pt idx="28">
                  <c:v>37.018161821057603</c:v>
                </c:pt>
                <c:pt idx="29">
                  <c:v>36.999999999999901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6F-406F-99AD-3A2803E02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38720"/>
        <c:axId val="763839200"/>
      </c:lineChart>
      <c:catAx>
        <c:axId val="76383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39200"/>
        <c:crosses val="autoZero"/>
        <c:auto val="1"/>
        <c:lblAlgn val="ctr"/>
        <c:lblOffset val="100"/>
        <c:noMultiLvlLbl val="0"/>
      </c:catAx>
      <c:valAx>
        <c:axId val="7638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38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Output_df2!$C$2:$C$31</c:f>
              <c:numCache>
                <c:formatCode>General</c:formatCode>
                <c:ptCount val="30"/>
                <c:pt idx="0">
                  <c:v>32.256999999999998</c:v>
                </c:pt>
                <c:pt idx="1">
                  <c:v>29.876999999999999</c:v>
                </c:pt>
                <c:pt idx="2">
                  <c:v>29.265999999999998</c:v>
                </c:pt>
                <c:pt idx="3">
                  <c:v>29.475999999999999</c:v>
                </c:pt>
                <c:pt idx="4">
                  <c:v>30.853000000000002</c:v>
                </c:pt>
                <c:pt idx="5">
                  <c:v>31.655999999999999</c:v>
                </c:pt>
                <c:pt idx="6">
                  <c:v>31.649000000000001</c:v>
                </c:pt>
                <c:pt idx="7">
                  <c:v>30.532</c:v>
                </c:pt>
                <c:pt idx="8">
                  <c:v>28.222000000000001</c:v>
                </c:pt>
                <c:pt idx="9">
                  <c:v>28.77</c:v>
                </c:pt>
                <c:pt idx="10">
                  <c:v>29.08</c:v>
                </c:pt>
                <c:pt idx="11">
                  <c:v>29.109000000000002</c:v>
                </c:pt>
                <c:pt idx="12">
                  <c:v>31.222000000000001</c:v>
                </c:pt>
                <c:pt idx="13">
                  <c:v>31.297999999999998</c:v>
                </c:pt>
                <c:pt idx="14">
                  <c:v>31.501000000000001</c:v>
                </c:pt>
                <c:pt idx="15">
                  <c:v>30.977</c:v>
                </c:pt>
                <c:pt idx="16">
                  <c:v>30.4</c:v>
                </c:pt>
                <c:pt idx="17">
                  <c:v>30.013999999999999</c:v>
                </c:pt>
                <c:pt idx="18">
                  <c:v>30.013999999999999</c:v>
                </c:pt>
                <c:pt idx="19">
                  <c:v>30.631</c:v>
                </c:pt>
                <c:pt idx="20">
                  <c:v>31.827000000000002</c:v>
                </c:pt>
                <c:pt idx="21">
                  <c:v>33.130000000000003</c:v>
                </c:pt>
                <c:pt idx="22">
                  <c:v>29.949000000000002</c:v>
                </c:pt>
                <c:pt idx="23">
                  <c:v>30.331</c:v>
                </c:pt>
                <c:pt idx="24">
                  <c:v>29.759437421586501</c:v>
                </c:pt>
                <c:pt idx="25">
                  <c:v>30.004013394173199</c:v>
                </c:pt>
                <c:pt idx="26">
                  <c:v>30.2810661683564</c:v>
                </c:pt>
                <c:pt idx="27">
                  <c:v>30.623376187729502</c:v>
                </c:pt>
                <c:pt idx="28">
                  <c:v>31.0209297484184</c:v>
                </c:pt>
                <c:pt idx="29">
                  <c:v>31.440656900203599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B4-4F62-AF73-E32F2C56E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2560"/>
        <c:axId val="763843040"/>
      </c:lineChart>
      <c:catAx>
        <c:axId val="7638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3040"/>
        <c:crosses val="autoZero"/>
        <c:auto val="1"/>
        <c:lblAlgn val="ctr"/>
        <c:lblOffset val="100"/>
        <c:noMultiLvlLbl val="0"/>
      </c:catAx>
      <c:valAx>
        <c:axId val="7638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2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int_payments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int_payments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Output_df2!$D$2:$D$31</c:f>
              <c:numCache>
                <c:formatCode>General</c:formatCode>
                <c:ptCount val="30"/>
                <c:pt idx="0">
                  <c:v>3.2551166257556998</c:v>
                </c:pt>
                <c:pt idx="1">
                  <c:v>2.8922052136040999</c:v>
                </c:pt>
                <c:pt idx="2">
                  <c:v>2.6580834377141001</c:v>
                </c:pt>
                <c:pt idx="3">
                  <c:v>2.5632439577889001</c:v>
                </c:pt>
                <c:pt idx="4">
                  <c:v>2.7037011473096002</c:v>
                </c:pt>
                <c:pt idx="5">
                  <c:v>2.7752106314601002</c:v>
                </c:pt>
                <c:pt idx="6">
                  <c:v>2.9331329775291</c:v>
                </c:pt>
                <c:pt idx="7">
                  <c:v>2.7760403795570001</c:v>
                </c:pt>
                <c:pt idx="8">
                  <c:v>2.5741795338461002</c:v>
                </c:pt>
                <c:pt idx="9">
                  <c:v>2.6777438330517001</c:v>
                </c:pt>
                <c:pt idx="10">
                  <c:v>2.8798841005210001</c:v>
                </c:pt>
                <c:pt idx="11">
                  <c:v>2.7262973000408999</c:v>
                </c:pt>
                <c:pt idx="12">
                  <c:v>2.4847110675373001</c:v>
                </c:pt>
                <c:pt idx="13">
                  <c:v>2.4741191921343</c:v>
                </c:pt>
                <c:pt idx="14">
                  <c:v>2.3410002732986999</c:v>
                </c:pt>
                <c:pt idx="15">
                  <c:v>2.4896968343357</c:v>
                </c:pt>
                <c:pt idx="16">
                  <c:v>2.5221062507330001</c:v>
                </c:pt>
                <c:pt idx="17">
                  <c:v>2.7690814403681001</c:v>
                </c:pt>
                <c:pt idx="18">
                  <c:v>2.8174080981988001</c:v>
                </c:pt>
                <c:pt idx="19">
                  <c:v>2.5348632941564002</c:v>
                </c:pt>
                <c:pt idx="20">
                  <c:v>2.6641967659474002</c:v>
                </c:pt>
                <c:pt idx="21">
                  <c:v>3.1314585524245002</c:v>
                </c:pt>
                <c:pt idx="22">
                  <c:v>3.5881272135627</c:v>
                </c:pt>
                <c:pt idx="23">
                  <c:v>3.9542051042690001</c:v>
                </c:pt>
                <c:pt idx="24">
                  <c:v>3.5</c:v>
                </c:pt>
                <c:pt idx="25">
                  <c:v>3.13609006320545</c:v>
                </c:pt>
                <c:pt idx="26">
                  <c:v>2.7676206695497201</c:v>
                </c:pt>
                <c:pt idx="27">
                  <c:v>2.4623777457798899</c:v>
                </c:pt>
                <c:pt idx="28">
                  <c:v>2.2830457087756102</c:v>
                </c:pt>
                <c:pt idx="29">
                  <c:v>2.1734393555598102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75-4A93-8BE2-0273BCD4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4480"/>
        <c:axId val="763846880"/>
      </c:lineChart>
      <c:catAx>
        <c:axId val="76384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6880"/>
        <c:crosses val="autoZero"/>
        <c:auto val="1"/>
        <c:lblAlgn val="ctr"/>
        <c:lblOffset val="100"/>
        <c:noMultiLvlLbl val="0"/>
      </c:catAx>
      <c:valAx>
        <c:axId val="7638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pb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pb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Output_df2!$E$2:$E$31</c:f>
              <c:numCache>
                <c:formatCode>General</c:formatCode>
                <c:ptCount val="30"/>
                <c:pt idx="0">
                  <c:v>2.71111662575569</c:v>
                </c:pt>
                <c:pt idx="1">
                  <c:v>-0.92879478639590096</c:v>
                </c:pt>
                <c:pt idx="2">
                  <c:v>-2.1129165622858999</c:v>
                </c:pt>
                <c:pt idx="3">
                  <c:v>-1.6797560422111</c:v>
                </c:pt>
                <c:pt idx="4">
                  <c:v>-0.37129885269039498</c:v>
                </c:pt>
                <c:pt idx="5">
                  <c:v>0.73921063146009802</c:v>
                </c:pt>
                <c:pt idx="6">
                  <c:v>2.0132977529103199E-2</c:v>
                </c:pt>
                <c:pt idx="7">
                  <c:v>-3.8359596204429902</c:v>
                </c:pt>
                <c:pt idx="8">
                  <c:v>-10.602820466153799</c:v>
                </c:pt>
                <c:pt idx="9">
                  <c:v>-8.3152561669482896</c:v>
                </c:pt>
                <c:pt idx="10">
                  <c:v>-6.8361158994790001</c:v>
                </c:pt>
                <c:pt idx="11">
                  <c:v>-5.3877026999590898</c:v>
                </c:pt>
                <c:pt idx="12">
                  <c:v>-2.0752889324626902</c:v>
                </c:pt>
                <c:pt idx="13">
                  <c:v>-1.55188080786569</c:v>
                </c:pt>
                <c:pt idx="14">
                  <c:v>-1.1889997267012899</c:v>
                </c:pt>
                <c:pt idx="15">
                  <c:v>-1.8663031656642901</c:v>
                </c:pt>
                <c:pt idx="16">
                  <c:v>-2.2718937492669999</c:v>
                </c:pt>
                <c:pt idx="17">
                  <c:v>-2.5659185596318901</c:v>
                </c:pt>
                <c:pt idx="18">
                  <c:v>-2.9875919018012</c:v>
                </c:pt>
                <c:pt idx="19">
                  <c:v>-11.613136705843599</c:v>
                </c:pt>
                <c:pt idx="20">
                  <c:v>-8.7268032340525998</c:v>
                </c:pt>
                <c:pt idx="21">
                  <c:v>-0.56754144757549696</c:v>
                </c:pt>
                <c:pt idx="22">
                  <c:v>-3.5758727864372899</c:v>
                </c:pt>
                <c:pt idx="23">
                  <c:v>-3.3077948957309999</c:v>
                </c:pt>
                <c:pt idx="24">
                  <c:v>-3.7904068219815299</c:v>
                </c:pt>
                <c:pt idx="25">
                  <c:v>-3.9019004444702499</c:v>
                </c:pt>
                <c:pt idx="26">
                  <c:v>-3.9877242274103701</c:v>
                </c:pt>
                <c:pt idx="27">
                  <c:v>-3.9456564205338802</c:v>
                </c:pt>
                <c:pt idx="28">
                  <c:v>-3.7141863638635302</c:v>
                </c:pt>
                <c:pt idx="29">
                  <c:v>-3.3859037442365301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87-4162-9BB2-03459B2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77120"/>
        <c:axId val="763855520"/>
      </c:lineChart>
      <c:catAx>
        <c:axId val="76387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55520"/>
        <c:crosses val="autoZero"/>
        <c:auto val="1"/>
        <c:lblAlgn val="ctr"/>
        <c:lblOffset val="100"/>
        <c:noMultiLvlLbl val="0"/>
      </c:catAx>
      <c:valAx>
        <c:axId val="7638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7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57150</xdr:rowOff>
    </xdr:from>
    <xdr:to>
      <xdr:col>7</xdr:col>
      <xdr:colOff>152400</xdr:colOff>
      <xdr:row>17</xdr:row>
      <xdr:rowOff>15875</xdr:rowOff>
    </xdr:to>
    <xdr:graphicFrame macro="">
      <xdr:nvGraphicFramePr>
        <xdr:cNvPr id="2" name="exp_Forecast">
          <a:extLst>
            <a:ext uri="{FF2B5EF4-FFF2-40B4-BE49-F238E27FC236}">
              <a16:creationId xmlns:a16="http://schemas.microsoft.com/office/drawing/2014/main" id="{89392117-24A2-CA24-8008-C6C3807EB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2</xdr:row>
      <xdr:rowOff>57150</xdr:rowOff>
    </xdr:from>
    <xdr:to>
      <xdr:col>15</xdr:col>
      <xdr:colOff>352425</xdr:colOff>
      <xdr:row>17</xdr:row>
      <xdr:rowOff>15875</xdr:rowOff>
    </xdr:to>
    <xdr:graphicFrame macro="">
      <xdr:nvGraphicFramePr>
        <xdr:cNvPr id="3" name="rev_Forecast">
          <a:extLst>
            <a:ext uri="{FF2B5EF4-FFF2-40B4-BE49-F238E27FC236}">
              <a16:creationId xmlns:a16="http://schemas.microsoft.com/office/drawing/2014/main" id="{332ADFCD-B955-2FDC-0848-CCDAD3C4F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323850</xdr:colOff>
      <xdr:row>2</xdr:row>
      <xdr:rowOff>73025</xdr:rowOff>
    </xdr:from>
    <xdr:to>
      <xdr:col>23</xdr:col>
      <xdr:colOff>561975</xdr:colOff>
      <xdr:row>17</xdr:row>
      <xdr:rowOff>25400</xdr:rowOff>
    </xdr:to>
    <xdr:graphicFrame macro="">
      <xdr:nvGraphicFramePr>
        <xdr:cNvPr id="4" name="int_payments_Forecast">
          <a:extLst>
            <a:ext uri="{FF2B5EF4-FFF2-40B4-BE49-F238E27FC236}">
              <a16:creationId xmlns:a16="http://schemas.microsoft.com/office/drawing/2014/main" id="{D45A2280-1201-5CB4-1E47-D71991A95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19</xdr:row>
      <xdr:rowOff>155575</xdr:rowOff>
    </xdr:from>
    <xdr:to>
      <xdr:col>15</xdr:col>
      <xdr:colOff>352425</xdr:colOff>
      <xdr:row>34</xdr:row>
      <xdr:rowOff>114300</xdr:rowOff>
    </xdr:to>
    <xdr:graphicFrame macro="">
      <xdr:nvGraphicFramePr>
        <xdr:cNvPr id="5" name="pb_Forecast">
          <a:extLst>
            <a:ext uri="{FF2B5EF4-FFF2-40B4-BE49-F238E27FC236}">
              <a16:creationId xmlns:a16="http://schemas.microsoft.com/office/drawing/2014/main" id="{35F55776-F0D5-4D8B-D8E6-6C0406269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473075</xdr:colOff>
      <xdr:row>1</xdr:row>
      <xdr:rowOff>158750</xdr:rowOff>
    </xdr:from>
    <xdr:to>
      <xdr:col>12</xdr:col>
      <xdr:colOff>377825</xdr:colOff>
      <xdr:row>24</xdr:row>
      <xdr:rowOff>95250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0A8CD5D-C27D-BA6D-8FFA-21375A64F1FF}"/>
            </a:ext>
          </a:extLst>
        </xdr:cNvPr>
        <xdr:cNvGrpSpPr/>
      </xdr:nvGrpSpPr>
      <xdr:grpSpPr>
        <a:xfrm>
          <a:off x="1692275" y="342900"/>
          <a:ext cx="6000750" cy="4095750"/>
          <a:chOff x="606425" y="257175"/>
          <a:chExt cx="6000750" cy="4095750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9D69AF7A-B56D-4351-87EF-9A14D194E7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06425" y="257175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utton 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600-000001180000}"/>
                  </a:ext>
                </a:extLst>
              </xdr:cNvPr>
              <xdr:cNvSpPr/>
            </xdr:nvSpPr>
            <xdr:spPr bwMode="auto">
              <a:xfrm>
                <a:off x="2143125" y="1104900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Run Forecast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utton 2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600-000002180000}"/>
                  </a:ext>
                </a:extLst>
              </xdr:cNvPr>
              <xdr:cNvSpPr/>
            </xdr:nvSpPr>
            <xdr:spPr bwMode="auto">
              <a:xfrm>
                <a:off x="2143125" y="1704975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View Models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Button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2143125" y="2314575"/>
                <a:ext cx="1562100" cy="447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Insert Charts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8" name="Butto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600-000004180000}"/>
                  </a:ext>
                </a:extLst>
              </xdr:cNvPr>
              <xdr:cNvSpPr/>
            </xdr:nvSpPr>
            <xdr:spPr bwMode="auto">
              <a:xfrm>
                <a:off x="2133600" y="2895600"/>
                <a:ext cx="1571625" cy="4381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Settings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21479-69A1-4413-8105-A286C2534FA8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7.54296875" bestFit="1" customWidth="1"/>
    <col min="2" max="2" width="6.81640625" bestFit="1" customWidth="1"/>
  </cols>
  <sheetData>
    <row r="1" spans="1:2" x14ac:dyDescent="0.35">
      <c r="A1" t="s">
        <v>11</v>
      </c>
      <c r="B1" t="s">
        <v>18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>
        <v>-1</v>
      </c>
    </row>
    <row r="4" spans="1:2" x14ac:dyDescent="0.35">
      <c r="A4" t="s">
        <v>15</v>
      </c>
      <c r="B4">
        <v>129600</v>
      </c>
    </row>
    <row r="5" spans="1:2" x14ac:dyDescent="0.35">
      <c r="A5" t="s">
        <v>16</v>
      </c>
      <c r="B5" t="b">
        <v>1</v>
      </c>
    </row>
    <row r="6" spans="1:2" x14ac:dyDescent="0.35">
      <c r="A6" t="s">
        <v>17</v>
      </c>
    </row>
  </sheetData>
  <dataValidations count="3">
    <dataValidation type="list" allowBlank="1" showInputMessage="1" showErrorMessage="1" sqref="B1" xr:uid="{06CF9CB0-8A55-4E9B-B413-67C919499E6F}">
      <formula1>"None,naive,elastic_net,ols_pca,ols"</formula1>
    </dataValidation>
    <dataValidation type="list" allowBlank="1" showInputMessage="1" showErrorMessage="1" sqref="B2" xr:uid="{B9824618-B92F-46A3-823C-019ABB706585}">
      <formula1>"oas,oasd,identity,monotone_diagonal"</formula1>
    </dataValidation>
    <dataValidation type="list" allowBlank="1" showInputMessage="1" showErrorMessage="1" sqref="B5" xr:uid="{981BFA51-1FC0-45A1-AAAB-3742EEBA329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19E-3D76-40B7-AD6C-9D28B03FEC47}">
  <sheetPr codeName="Sheet4"/>
  <dimension ref="A1:B11"/>
  <sheetViews>
    <sheetView workbookViewId="0"/>
  </sheetViews>
  <sheetFormatPr defaultRowHeight="14.5" x14ac:dyDescent="0.35"/>
  <cols>
    <col min="1" max="1" width="22.453125" bestFit="1" customWidth="1"/>
  </cols>
  <sheetData>
    <row r="1" spans="1:2" x14ac:dyDescent="0.35">
      <c r="A1" t="s">
        <v>21</v>
      </c>
      <c r="B1" t="s">
        <v>22</v>
      </c>
    </row>
    <row r="2" spans="1:2" x14ac:dyDescent="0.35">
      <c r="A2" t="s">
        <v>23</v>
      </c>
      <c r="B2" t="s">
        <v>24</v>
      </c>
    </row>
    <row r="3" spans="1:2" x14ac:dyDescent="0.35">
      <c r="A3" t="s">
        <v>25</v>
      </c>
      <c r="B3" t="s">
        <v>26</v>
      </c>
    </row>
    <row r="4" spans="1:2" x14ac:dyDescent="0.35">
      <c r="A4" t="s">
        <v>27</v>
      </c>
      <c r="B4" t="s">
        <v>18</v>
      </c>
    </row>
    <row r="5" spans="1:2" x14ac:dyDescent="0.35">
      <c r="A5" t="s">
        <v>28</v>
      </c>
      <c r="B5" t="s">
        <v>18</v>
      </c>
    </row>
    <row r="6" spans="1:2" x14ac:dyDescent="0.35">
      <c r="A6" t="s">
        <v>29</v>
      </c>
      <c r="B6" t="s">
        <v>30</v>
      </c>
    </row>
    <row r="7" spans="1:2" x14ac:dyDescent="0.35">
      <c r="A7" t="s">
        <v>31</v>
      </c>
      <c r="B7">
        <v>7</v>
      </c>
    </row>
    <row r="8" spans="1:2" x14ac:dyDescent="0.35">
      <c r="A8" t="s">
        <v>32</v>
      </c>
      <c r="B8">
        <v>0.37167000876703898</v>
      </c>
    </row>
    <row r="9" spans="1:2" x14ac:dyDescent="0.35">
      <c r="A9" t="s">
        <v>33</v>
      </c>
      <c r="B9" t="b">
        <v>0</v>
      </c>
    </row>
    <row r="10" spans="1:2" x14ac:dyDescent="0.35">
      <c r="A10" t="s">
        <v>34</v>
      </c>
      <c r="B10" t="s">
        <v>35</v>
      </c>
    </row>
    <row r="11" spans="1:2" x14ac:dyDescent="0.35">
      <c r="A11" t="s">
        <v>36</v>
      </c>
      <c r="B11" t="s">
        <v>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8D107-0729-4247-90D0-704338DA1073}">
  <sheetPr codeName="Sheet5"/>
  <dimension ref="A1:E31"/>
  <sheetViews>
    <sheetView workbookViewId="0"/>
  </sheetViews>
  <sheetFormatPr defaultRowHeight="14.5" x14ac:dyDescent="0.35"/>
  <sheetData>
    <row r="1" spans="1:5" x14ac:dyDescent="0.35">
      <c r="A1" t="s">
        <v>19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2001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>
        <v>2002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>
        <v>2003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>
        <v>2004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>
        <v>2005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>
        <v>2006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>
        <v>2007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>
        <v>2008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>
        <v>2009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>
        <v>2010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>
        <v>2011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>
        <v>2012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>
        <v>2013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>
        <v>2014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>
        <v>2015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>
        <v>2016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>
        <v>2017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>
        <v>2018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>
        <v>2019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>
        <v>2020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>
        <v>2021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>
        <v>2022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>
        <v>2023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>
        <v>2024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>
        <v>2025</v>
      </c>
      <c r="B26" t="s">
        <v>20</v>
      </c>
      <c r="C26" t="s">
        <v>20</v>
      </c>
      <c r="D26" t="s">
        <v>20</v>
      </c>
      <c r="E26" t="s">
        <v>20</v>
      </c>
    </row>
    <row r="27" spans="1:5" x14ac:dyDescent="0.35">
      <c r="A27">
        <v>2026</v>
      </c>
      <c r="B27" t="s">
        <v>20</v>
      </c>
      <c r="C27" t="s">
        <v>20</v>
      </c>
      <c r="D27" t="s">
        <v>20</v>
      </c>
      <c r="E27" t="s">
        <v>20</v>
      </c>
    </row>
    <row r="28" spans="1:5" x14ac:dyDescent="0.35">
      <c r="A28">
        <v>2027</v>
      </c>
      <c r="B28" t="s">
        <v>20</v>
      </c>
      <c r="C28" t="s">
        <v>20</v>
      </c>
      <c r="D28" t="s">
        <v>20</v>
      </c>
      <c r="E28" t="s">
        <v>20</v>
      </c>
    </row>
    <row r="29" spans="1:5" x14ac:dyDescent="0.35">
      <c r="A29">
        <v>2028</v>
      </c>
      <c r="B29" t="s">
        <v>20</v>
      </c>
      <c r="C29" t="s">
        <v>20</v>
      </c>
      <c r="D29" t="s">
        <v>20</v>
      </c>
      <c r="E29" t="s">
        <v>20</v>
      </c>
    </row>
    <row r="30" spans="1:5" x14ac:dyDescent="0.35">
      <c r="A30">
        <v>2029</v>
      </c>
      <c r="B30" t="s">
        <v>20</v>
      </c>
      <c r="C30" t="s">
        <v>20</v>
      </c>
      <c r="D30" t="s">
        <v>20</v>
      </c>
      <c r="E30" t="s">
        <v>20</v>
      </c>
    </row>
    <row r="31" spans="1:5" x14ac:dyDescent="0.35">
      <c r="A31">
        <v>2030</v>
      </c>
      <c r="B31" t="s">
        <v>20</v>
      </c>
      <c r="C31" t="s">
        <v>20</v>
      </c>
      <c r="D31" t="s">
        <v>20</v>
      </c>
      <c r="E31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ECD8-E158-4F1E-B90F-8E712E942F99}">
  <sheetPr codeName="Sheet7"/>
  <dimension ref="A1:E31"/>
  <sheetViews>
    <sheetView workbookViewId="0">
      <selection activeCell="AA23" sqref="AA23"/>
    </sheetView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37.049844243568103</v>
      </c>
      <c r="C26">
        <v>29.759437421586501</v>
      </c>
      <c r="D26">
        <v>3.5</v>
      </c>
      <c r="E26">
        <v>-3.7904068219815299</v>
      </c>
    </row>
    <row r="27" spans="1:5" x14ac:dyDescent="0.35">
      <c r="A27" s="13">
        <v>46023</v>
      </c>
      <c r="B27">
        <v>37.042003901848901</v>
      </c>
      <c r="C27">
        <v>30.004013394173199</v>
      </c>
      <c r="D27">
        <v>3.13609006320545</v>
      </c>
      <c r="E27">
        <v>-3.9019004444702499</v>
      </c>
    </row>
    <row r="28" spans="1:5" x14ac:dyDescent="0.35">
      <c r="A28" s="13">
        <v>46388</v>
      </c>
      <c r="B28">
        <v>37.0364110653165</v>
      </c>
      <c r="C28">
        <v>30.2810661683564</v>
      </c>
      <c r="D28">
        <v>2.7676206695497201</v>
      </c>
      <c r="E28">
        <v>-3.9877242274103701</v>
      </c>
    </row>
    <row r="29" spans="1:5" x14ac:dyDescent="0.35">
      <c r="A29" s="13">
        <v>46753</v>
      </c>
      <c r="B29">
        <v>37.031410354043203</v>
      </c>
      <c r="C29">
        <v>30.623376187729502</v>
      </c>
      <c r="D29">
        <v>2.4623777457798899</v>
      </c>
      <c r="E29">
        <v>-3.9456564205338802</v>
      </c>
    </row>
    <row r="30" spans="1:5" x14ac:dyDescent="0.35">
      <c r="A30" s="13">
        <v>47119</v>
      </c>
      <c r="B30">
        <v>37.018161821057603</v>
      </c>
      <c r="C30">
        <v>31.0209297484184</v>
      </c>
      <c r="D30">
        <v>2.2830457087756102</v>
      </c>
      <c r="E30">
        <v>-3.7141863638635302</v>
      </c>
    </row>
    <row r="31" spans="1:5" x14ac:dyDescent="0.35">
      <c r="A31" s="13">
        <v>47484</v>
      </c>
      <c r="B31">
        <v>36.999999999999901</v>
      </c>
      <c r="C31">
        <v>31.440656900203599</v>
      </c>
      <c r="D31">
        <v>2.1734393555598102</v>
      </c>
      <c r="E31">
        <v>-3.3859037442365301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E553-7175-4795-BF7A-153B186C5956}">
  <sheetPr codeName="Sheet8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37.593000000000004</v>
      </c>
      <c r="C26">
        <v>30.3309999999999</v>
      </c>
      <c r="D26">
        <v>3.9542051042689899</v>
      </c>
      <c r="E26">
        <v>-3.3077948957309902</v>
      </c>
    </row>
    <row r="27" spans="1:5" x14ac:dyDescent="0.35">
      <c r="A27" s="13">
        <v>46023</v>
      </c>
      <c r="B27">
        <v>35.476252198902898</v>
      </c>
      <c r="C27">
        <v>29.076249796405602</v>
      </c>
      <c r="D27">
        <v>2.5718429272840999</v>
      </c>
      <c r="E27">
        <v>-1.60564376783606</v>
      </c>
    </row>
    <row r="28" spans="1:5" x14ac:dyDescent="0.35">
      <c r="A28" s="13">
        <v>46388</v>
      </c>
      <c r="B28">
        <v>34.735015989393197</v>
      </c>
      <c r="C28">
        <v>28.982977520788001</v>
      </c>
      <c r="D28">
        <v>2.2205027211859498</v>
      </c>
      <c r="E28">
        <v>-4.53597990764837</v>
      </c>
    </row>
    <row r="29" spans="1:5" x14ac:dyDescent="0.35">
      <c r="A29" s="13">
        <v>46753</v>
      </c>
      <c r="B29">
        <v>39.5457861863053</v>
      </c>
      <c r="C29">
        <v>31.2639359038177</v>
      </c>
      <c r="D29">
        <v>2.9547934424448599</v>
      </c>
      <c r="E29">
        <v>-7.9886407660578698</v>
      </c>
    </row>
    <row r="30" spans="1:5" x14ac:dyDescent="0.35">
      <c r="A30" s="13">
        <v>47119</v>
      </c>
      <c r="B30">
        <v>35.284177205963204</v>
      </c>
      <c r="C30">
        <v>31.853302717063301</v>
      </c>
      <c r="D30">
        <v>2.9848348057137701</v>
      </c>
      <c r="E30">
        <v>-4.1802303172496398</v>
      </c>
    </row>
    <row r="31" spans="1:5" x14ac:dyDescent="0.35">
      <c r="A31" s="13">
        <v>47484</v>
      </c>
      <c r="B31">
        <v>32.503629191082901</v>
      </c>
      <c r="C31">
        <v>31.9244952249304</v>
      </c>
      <c r="D31">
        <v>2.5521408417500901</v>
      </c>
      <c r="E31">
        <v>-0.59786494215459696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E029-7F9A-4E7D-8AF6-98EBB735BE5D}">
  <sheetPr codeName="Sheet9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</row>
    <row r="27" spans="1:5" x14ac:dyDescent="0.35">
      <c r="A27" s="13">
        <v>46023</v>
      </c>
    </row>
    <row r="28" spans="1:5" x14ac:dyDescent="0.35">
      <c r="A28" s="13">
        <v>46388</v>
      </c>
    </row>
    <row r="29" spans="1:5" x14ac:dyDescent="0.35">
      <c r="A29" s="13">
        <v>46753</v>
      </c>
    </row>
    <row r="30" spans="1:5" x14ac:dyDescent="0.35">
      <c r="A30" s="13">
        <v>47119</v>
      </c>
    </row>
    <row r="31" spans="1:5" x14ac:dyDescent="0.35">
      <c r="A31" s="13">
        <v>47484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Q23" sqref="Q23"/>
    </sheetView>
  </sheetViews>
  <sheetFormatPr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autoFill="0" autoPict="0" macro="[0]!RunForecastBtn">
                <anchor moveWithCells="1" sizeWithCells="1">
                  <from>
                    <xdr:col>5</xdr:col>
                    <xdr:colOff>184150</xdr:colOff>
                    <xdr:row>6</xdr:row>
                    <xdr:rowOff>107950</xdr:rowOff>
                  </from>
                  <to>
                    <xdr:col>7</xdr:col>
                    <xdr:colOff>527050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autoFill="0" autoPict="0" macro="[0]!ViewModelsBtn">
                <anchor moveWithCells="1" sizeWithCells="1">
                  <from>
                    <xdr:col>5</xdr:col>
                    <xdr:colOff>184150</xdr:colOff>
                    <xdr:row>9</xdr:row>
                    <xdr:rowOff>158750</xdr:rowOff>
                  </from>
                  <to>
                    <xdr:col>7</xdr:col>
                    <xdr:colOff>527050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autoFill="0" autoPict="0" macro="[0]!InsertChartsBtn">
                <anchor moveWithCells="1" sizeWithCells="1">
                  <from>
                    <xdr:col>5</xdr:col>
                    <xdr:colOff>184150</xdr:colOff>
                    <xdr:row>13</xdr:row>
                    <xdr:rowOff>44450</xdr:rowOff>
                  </from>
                  <to>
                    <xdr:col>7</xdr:col>
                    <xdr:colOff>527050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autoFill="0" autoPict="0" macro="[0]!InsertSettingsBtn">
                <anchor moveWithCells="1" sizeWithCells="1">
                  <from>
                    <xdr:col>5</xdr:col>
                    <xdr:colOff>171450</xdr:colOff>
                    <xdr:row>16</xdr:row>
                    <xdr:rowOff>82550</xdr:rowOff>
                  </from>
                  <to>
                    <xdr:col>7</xdr:col>
                    <xdr:colOff>527050</xdr:colOff>
                    <xdr:row>18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F112"/>
  <sheetViews>
    <sheetView workbookViewId="0">
      <selection activeCell="H34" sqref="H34"/>
    </sheetView>
  </sheetViews>
  <sheetFormatPr defaultRowHeight="14.5" x14ac:dyDescent="0.35"/>
  <cols>
    <col min="1" max="1" width="4.81640625" style="6" bestFit="1" customWidth="1"/>
    <col min="2" max="2" width="5.36328125" style="6" bestFit="1" customWidth="1"/>
    <col min="3" max="3" width="5.36328125" bestFit="1" customWidth="1"/>
    <col min="4" max="4" width="12.6328125" bestFit="1" customWidth="1"/>
    <col min="5" max="5" width="6" bestFit="1" customWidth="1"/>
  </cols>
  <sheetData>
    <row r="1" spans="1:6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11"/>
    </row>
    <row r="2" spans="1:6" x14ac:dyDescent="0.35">
      <c r="A2" s="9">
        <v>2001</v>
      </c>
      <c r="B2" s="8">
        <v>32.801000000000002</v>
      </c>
      <c r="C2" s="8">
        <v>32.256999999999998</v>
      </c>
      <c r="D2" s="10">
        <v>3.2551166257556998</v>
      </c>
      <c r="E2" s="8">
        <v>2.7111166257556958</v>
      </c>
      <c r="F2" s="12"/>
    </row>
    <row r="3" spans="1:6" x14ac:dyDescent="0.35">
      <c r="A3" s="9">
        <v>2002</v>
      </c>
      <c r="B3" s="8">
        <v>33.698</v>
      </c>
      <c r="C3" s="8">
        <v>29.876999999999999</v>
      </c>
      <c r="D3" s="10">
        <v>2.8922052136040999</v>
      </c>
      <c r="E3" s="8">
        <v>-0.92879478639590163</v>
      </c>
      <c r="F3" s="12"/>
    </row>
    <row r="4" spans="1:6" x14ac:dyDescent="0.35">
      <c r="A4" s="9">
        <v>2003</v>
      </c>
      <c r="B4" s="8">
        <v>34.036999999999999</v>
      </c>
      <c r="C4" s="8">
        <v>29.265999999999998</v>
      </c>
      <c r="D4" s="10">
        <v>2.6580834377141001</v>
      </c>
      <c r="E4" s="8">
        <v>-2.1129165622859007</v>
      </c>
      <c r="F4" s="12"/>
    </row>
    <row r="5" spans="1:6" x14ac:dyDescent="0.35">
      <c r="A5" s="9">
        <v>2004</v>
      </c>
      <c r="B5" s="8">
        <v>33.719000000000001</v>
      </c>
      <c r="C5" s="8">
        <v>29.475999999999999</v>
      </c>
      <c r="D5" s="10">
        <v>2.5632439577889001</v>
      </c>
      <c r="E5" s="8">
        <v>-1.679756042211102</v>
      </c>
      <c r="F5" s="12"/>
    </row>
    <row r="6" spans="1:6" x14ac:dyDescent="0.35">
      <c r="A6" s="9">
        <v>2005</v>
      </c>
      <c r="B6" s="8">
        <v>33.927999999999997</v>
      </c>
      <c r="C6" s="8">
        <v>30.853000000000002</v>
      </c>
      <c r="D6" s="10">
        <v>2.7037011473096002</v>
      </c>
      <c r="E6" s="8">
        <v>-0.37129885269039553</v>
      </c>
      <c r="F6" s="12"/>
    </row>
    <row r="7" spans="1:6" x14ac:dyDescent="0.35">
      <c r="A7" s="9">
        <v>2006</v>
      </c>
      <c r="B7" s="8">
        <v>33.692</v>
      </c>
      <c r="C7" s="8">
        <v>31.655999999999999</v>
      </c>
      <c r="D7" s="10">
        <v>2.7752106314601002</v>
      </c>
      <c r="E7" s="8">
        <v>0.7392106314600988</v>
      </c>
      <c r="F7" s="12"/>
    </row>
    <row r="8" spans="1:6" x14ac:dyDescent="0.35">
      <c r="A8" s="9">
        <v>2007</v>
      </c>
      <c r="B8" s="8">
        <v>34.561999999999998</v>
      </c>
      <c r="C8" s="8">
        <v>31.649000000000001</v>
      </c>
      <c r="D8" s="10">
        <v>2.9331329775291</v>
      </c>
      <c r="E8" s="8">
        <v>2.0132977529103258E-2</v>
      </c>
      <c r="F8" s="12"/>
    </row>
    <row r="9" spans="1:6" x14ac:dyDescent="0.35">
      <c r="A9" s="9">
        <v>2008</v>
      </c>
      <c r="B9" s="8">
        <v>37.143999999999998</v>
      </c>
      <c r="C9" s="8">
        <v>30.532</v>
      </c>
      <c r="D9" s="10">
        <v>2.7760403795570001</v>
      </c>
      <c r="E9" s="8">
        <v>-3.8359596204429982</v>
      </c>
      <c r="F9" s="12"/>
    </row>
    <row r="10" spans="1:6" x14ac:dyDescent="0.35">
      <c r="A10" s="9">
        <v>2009</v>
      </c>
      <c r="B10" s="8">
        <v>41.399000000000001</v>
      </c>
      <c r="C10" s="8">
        <v>28.222000000000001</v>
      </c>
      <c r="D10" s="10">
        <v>2.5741795338461002</v>
      </c>
      <c r="E10" s="8">
        <v>-10.602820466153899</v>
      </c>
      <c r="F10" s="12"/>
    </row>
    <row r="11" spans="1:6" x14ac:dyDescent="0.35">
      <c r="A11" s="9">
        <v>2010</v>
      </c>
      <c r="B11" s="8">
        <v>39.762999999999998</v>
      </c>
      <c r="C11" s="8">
        <v>28.77</v>
      </c>
      <c r="D11" s="10">
        <v>2.6777438330517001</v>
      </c>
      <c r="E11" s="8">
        <v>-8.3152561669482985</v>
      </c>
      <c r="F11" s="12"/>
    </row>
    <row r="12" spans="1:6" x14ac:dyDescent="0.35">
      <c r="A12" s="9">
        <v>2011</v>
      </c>
      <c r="B12" s="8">
        <v>38.795999999999999</v>
      </c>
      <c r="C12" s="8">
        <v>29.08</v>
      </c>
      <c r="D12" s="10">
        <v>2.8798841005210001</v>
      </c>
      <c r="E12" s="8">
        <v>-6.836115899479001</v>
      </c>
      <c r="F12" s="12"/>
    </row>
    <row r="13" spans="1:6" x14ac:dyDescent="0.35">
      <c r="A13" s="9">
        <v>2012</v>
      </c>
      <c r="B13" s="8">
        <v>37.222999999999999</v>
      </c>
      <c r="C13" s="8">
        <v>29.109000000000002</v>
      </c>
      <c r="D13" s="10">
        <v>2.7262973000408999</v>
      </c>
      <c r="E13" s="8">
        <v>-5.3877026999590978</v>
      </c>
      <c r="F13" s="12"/>
    </row>
    <row r="14" spans="1:6" x14ac:dyDescent="0.35">
      <c r="A14" s="9">
        <v>2013</v>
      </c>
      <c r="B14" s="8">
        <v>35.781999999999996</v>
      </c>
      <c r="C14" s="8">
        <v>31.222000000000001</v>
      </c>
      <c r="D14" s="10">
        <v>2.4847110675373001</v>
      </c>
      <c r="E14" s="8">
        <v>-2.0752889324626951</v>
      </c>
      <c r="F14" s="12"/>
    </row>
    <row r="15" spans="1:6" x14ac:dyDescent="0.35">
      <c r="A15" s="9">
        <v>2014</v>
      </c>
      <c r="B15" s="8">
        <v>35.323999999999998</v>
      </c>
      <c r="C15" s="8">
        <v>31.297999999999998</v>
      </c>
      <c r="D15" s="10">
        <v>2.4741191921343</v>
      </c>
      <c r="E15" s="8">
        <v>-1.5518808078656998</v>
      </c>
      <c r="F15" s="12"/>
    </row>
    <row r="16" spans="1:6" x14ac:dyDescent="0.35">
      <c r="A16" s="9">
        <v>2015</v>
      </c>
      <c r="B16" s="8">
        <v>35.030999999999999</v>
      </c>
      <c r="C16" s="8">
        <v>31.501000000000001</v>
      </c>
      <c r="D16" s="10">
        <v>2.3410002732986999</v>
      </c>
      <c r="E16" s="8">
        <v>-1.1889997267012977</v>
      </c>
      <c r="F16" s="12"/>
    </row>
    <row r="17" spans="1:6" x14ac:dyDescent="0.35">
      <c r="A17" s="9">
        <v>2016</v>
      </c>
      <c r="B17" s="8">
        <v>35.332999999999998</v>
      </c>
      <c r="C17" s="8">
        <v>30.977</v>
      </c>
      <c r="D17" s="10">
        <v>2.4896968343357</v>
      </c>
      <c r="E17" s="8">
        <v>-1.8663031656642981</v>
      </c>
      <c r="F17" s="12"/>
    </row>
    <row r="18" spans="1:6" x14ac:dyDescent="0.35">
      <c r="A18" s="9">
        <v>2017</v>
      </c>
      <c r="B18" s="8">
        <v>35.194000000000003</v>
      </c>
      <c r="C18" s="8">
        <v>30.4</v>
      </c>
      <c r="D18" s="10">
        <v>2.5221062507330001</v>
      </c>
      <c r="E18" s="8">
        <v>-2.2718937492670039</v>
      </c>
      <c r="F18" s="12"/>
    </row>
    <row r="19" spans="1:6" x14ac:dyDescent="0.35">
      <c r="A19" s="9">
        <v>2018</v>
      </c>
      <c r="B19" s="8">
        <v>35.348999999999997</v>
      </c>
      <c r="C19" s="8">
        <v>30.013999999999999</v>
      </c>
      <c r="D19" s="10">
        <v>2.7690814403681001</v>
      </c>
      <c r="E19" s="8">
        <v>-2.5659185596318972</v>
      </c>
      <c r="F19" s="12"/>
    </row>
    <row r="20" spans="1:6" x14ac:dyDescent="0.35">
      <c r="A20" s="9">
        <v>2019</v>
      </c>
      <c r="B20" s="8">
        <v>35.819000000000003</v>
      </c>
      <c r="C20" s="8">
        <v>30.013999999999999</v>
      </c>
      <c r="D20" s="10">
        <v>2.8174080981988001</v>
      </c>
      <c r="E20" s="8">
        <v>-2.9875919018012032</v>
      </c>
      <c r="F20" s="12"/>
    </row>
    <row r="21" spans="1:6" x14ac:dyDescent="0.35">
      <c r="A21" s="9">
        <v>2020</v>
      </c>
      <c r="B21" s="8">
        <v>44.779000000000003</v>
      </c>
      <c r="C21" s="8">
        <v>30.631</v>
      </c>
      <c r="D21" s="10">
        <v>2.5348632941564002</v>
      </c>
      <c r="E21" s="8">
        <v>-11.613136705843603</v>
      </c>
      <c r="F21" s="12"/>
    </row>
    <row r="22" spans="1:6" x14ac:dyDescent="0.35">
      <c r="A22" s="9">
        <v>2021</v>
      </c>
      <c r="B22" s="8">
        <v>43.218000000000004</v>
      </c>
      <c r="C22" s="8">
        <v>31.827000000000002</v>
      </c>
      <c r="D22" s="10">
        <v>2.6641967659474002</v>
      </c>
      <c r="E22" s="8">
        <v>-8.7268032340526016</v>
      </c>
      <c r="F22" s="12"/>
    </row>
    <row r="23" spans="1:6" x14ac:dyDescent="0.35">
      <c r="A23" s="9">
        <v>2022</v>
      </c>
      <c r="B23" s="8">
        <v>36.829000000000001</v>
      </c>
      <c r="C23" s="8">
        <v>33.130000000000003</v>
      </c>
      <c r="D23" s="10">
        <v>3.1314585524245002</v>
      </c>
      <c r="E23" s="8">
        <v>-0.56754144757549785</v>
      </c>
      <c r="F23" s="12"/>
    </row>
    <row r="24" spans="1:6" x14ac:dyDescent="0.35">
      <c r="A24" s="9">
        <v>2023</v>
      </c>
      <c r="B24" s="8">
        <v>37.113</v>
      </c>
      <c r="C24" s="8">
        <v>29.949000000000002</v>
      </c>
      <c r="D24" s="10">
        <v>3.5881272135627</v>
      </c>
      <c r="E24" s="8">
        <v>-3.5758727864372979</v>
      </c>
      <c r="F24" s="12"/>
    </row>
    <row r="25" spans="1:6" x14ac:dyDescent="0.35">
      <c r="A25" s="9">
        <v>2024</v>
      </c>
      <c r="B25" s="8">
        <v>37.593000000000004</v>
      </c>
      <c r="C25" s="8">
        <v>30.331</v>
      </c>
      <c r="D25" s="10">
        <v>3.9542051042690001</v>
      </c>
      <c r="E25" s="8">
        <v>-3.3077948957310039</v>
      </c>
      <c r="F25" s="12"/>
    </row>
    <row r="26" spans="1:6" x14ac:dyDescent="0.35">
      <c r="A26" s="9">
        <v>2025</v>
      </c>
      <c r="B26" s="1"/>
      <c r="C26" s="1"/>
      <c r="D26" s="1"/>
      <c r="E26" s="8"/>
      <c r="F26" s="12"/>
    </row>
    <row r="27" spans="1:6" x14ac:dyDescent="0.35">
      <c r="A27" s="9">
        <v>2026</v>
      </c>
      <c r="B27" s="1"/>
      <c r="C27" s="1"/>
      <c r="D27" s="1"/>
      <c r="E27" s="8"/>
      <c r="F27" s="12"/>
    </row>
    <row r="28" spans="1:6" x14ac:dyDescent="0.35">
      <c r="A28" s="9">
        <v>2027</v>
      </c>
      <c r="B28" s="1"/>
      <c r="C28" s="1"/>
      <c r="D28" s="1"/>
      <c r="E28" s="8"/>
      <c r="F28" s="12"/>
    </row>
    <row r="29" spans="1:6" x14ac:dyDescent="0.35">
      <c r="A29" s="9">
        <v>2028</v>
      </c>
      <c r="B29" s="1"/>
      <c r="C29" s="1"/>
      <c r="D29" s="1"/>
      <c r="E29" s="8"/>
      <c r="F29" s="12"/>
    </row>
    <row r="30" spans="1:6" x14ac:dyDescent="0.35">
      <c r="A30" s="9">
        <v>2029</v>
      </c>
      <c r="B30" s="1"/>
      <c r="C30" s="1"/>
      <c r="D30" s="1"/>
      <c r="E30" s="8"/>
      <c r="F30" s="12"/>
    </row>
    <row r="31" spans="1:6" x14ac:dyDescent="0.35">
      <c r="A31" s="9">
        <v>2030</v>
      </c>
      <c r="B31" s="1"/>
      <c r="C31" s="1"/>
      <c r="D31" s="1"/>
      <c r="E31" s="8"/>
      <c r="F31" s="12"/>
    </row>
    <row r="32" spans="1:6" x14ac:dyDescent="0.35">
      <c r="A32" s="3"/>
      <c r="B32" s="4"/>
    </row>
    <row r="33" spans="1:2" x14ac:dyDescent="0.35">
      <c r="A33" s="3"/>
      <c r="B33" s="4"/>
    </row>
    <row r="34" spans="1:2" x14ac:dyDescent="0.35">
      <c r="A34" s="3"/>
      <c r="B34" s="4"/>
    </row>
    <row r="35" spans="1:2" x14ac:dyDescent="0.35">
      <c r="A35" s="3"/>
      <c r="B35" s="4"/>
    </row>
    <row r="36" spans="1:2" x14ac:dyDescent="0.35">
      <c r="A36" s="3"/>
      <c r="B36" s="4"/>
    </row>
    <row r="37" spans="1:2" x14ac:dyDescent="0.35">
      <c r="A37" s="3"/>
      <c r="B37" s="4"/>
    </row>
    <row r="38" spans="1:2" x14ac:dyDescent="0.35">
      <c r="A38" s="3"/>
      <c r="B38" s="4"/>
    </row>
    <row r="39" spans="1:2" x14ac:dyDescent="0.35">
      <c r="A39" s="3"/>
      <c r="B39" s="4"/>
    </row>
    <row r="40" spans="1:2" x14ac:dyDescent="0.35">
      <c r="A40" s="3"/>
      <c r="B40" s="4"/>
    </row>
    <row r="41" spans="1:2" x14ac:dyDescent="0.35">
      <c r="A41" s="3"/>
      <c r="B41" s="4"/>
    </row>
    <row r="42" spans="1:2" x14ac:dyDescent="0.35">
      <c r="A42" s="3"/>
      <c r="B42" s="4"/>
    </row>
    <row r="43" spans="1:2" x14ac:dyDescent="0.35">
      <c r="A43" s="3"/>
      <c r="B43" s="4"/>
    </row>
    <row r="44" spans="1:2" x14ac:dyDescent="0.35">
      <c r="A44" s="3"/>
      <c r="B44" s="4"/>
    </row>
    <row r="45" spans="1:2" x14ac:dyDescent="0.35">
      <c r="A45" s="3"/>
      <c r="B45" s="4"/>
    </row>
    <row r="46" spans="1:2" x14ac:dyDescent="0.35">
      <c r="A46" s="3"/>
      <c r="B46" s="4"/>
    </row>
    <row r="47" spans="1:2" x14ac:dyDescent="0.35">
      <c r="A47" s="3"/>
      <c r="B47" s="4"/>
    </row>
    <row r="48" spans="1:2" x14ac:dyDescent="0.35">
      <c r="A48" s="3"/>
      <c r="B48" s="4"/>
    </row>
    <row r="49" spans="1:2" x14ac:dyDescent="0.35">
      <c r="A49" s="3"/>
      <c r="B49" s="4"/>
    </row>
    <row r="50" spans="1:2" x14ac:dyDescent="0.35">
      <c r="A50" s="3"/>
      <c r="B50" s="4"/>
    </row>
    <row r="51" spans="1:2" x14ac:dyDescent="0.35">
      <c r="A51" s="3"/>
      <c r="B51" s="4"/>
    </row>
    <row r="52" spans="1:2" x14ac:dyDescent="0.35">
      <c r="A52" s="3"/>
      <c r="B52" s="4"/>
    </row>
    <row r="53" spans="1:2" x14ac:dyDescent="0.35">
      <c r="A53" s="3"/>
      <c r="B53" s="4"/>
    </row>
    <row r="54" spans="1:2" x14ac:dyDescent="0.35">
      <c r="A54" s="3"/>
      <c r="B54" s="4"/>
    </row>
    <row r="55" spans="1:2" x14ac:dyDescent="0.35">
      <c r="A55" s="3"/>
      <c r="B55" s="4"/>
    </row>
    <row r="56" spans="1:2" x14ac:dyDescent="0.35">
      <c r="A56" s="3"/>
      <c r="B56" s="4"/>
    </row>
    <row r="57" spans="1:2" x14ac:dyDescent="0.35">
      <c r="A57" s="3"/>
      <c r="B57" s="4"/>
    </row>
    <row r="58" spans="1:2" x14ac:dyDescent="0.35">
      <c r="A58" s="3"/>
      <c r="B58" s="4"/>
    </row>
    <row r="59" spans="1:2" x14ac:dyDescent="0.35">
      <c r="A59" s="3"/>
      <c r="B59" s="4"/>
    </row>
    <row r="60" spans="1:2" x14ac:dyDescent="0.35">
      <c r="A60" s="3"/>
      <c r="B60" s="4"/>
    </row>
    <row r="61" spans="1:2" x14ac:dyDescent="0.35">
      <c r="A61" s="3"/>
      <c r="B61" s="4"/>
    </row>
    <row r="62" spans="1:2" x14ac:dyDescent="0.35">
      <c r="A62" s="3"/>
      <c r="B62" s="4"/>
    </row>
    <row r="63" spans="1:2" x14ac:dyDescent="0.35">
      <c r="A63" s="3"/>
      <c r="B63" s="4"/>
    </row>
    <row r="64" spans="1:2" x14ac:dyDescent="0.35">
      <c r="A64" s="3"/>
      <c r="B64" s="4"/>
    </row>
    <row r="65" spans="1:2" x14ac:dyDescent="0.35">
      <c r="A65" s="3"/>
      <c r="B65" s="4"/>
    </row>
    <row r="66" spans="1:2" x14ac:dyDescent="0.35">
      <c r="A66" s="3"/>
      <c r="B66" s="4"/>
    </row>
    <row r="67" spans="1:2" x14ac:dyDescent="0.35">
      <c r="A67" s="3"/>
      <c r="B67" s="4"/>
    </row>
    <row r="68" spans="1:2" x14ac:dyDescent="0.35">
      <c r="A68" s="3"/>
      <c r="B68" s="4"/>
    </row>
    <row r="69" spans="1:2" x14ac:dyDescent="0.35">
      <c r="A69" s="3"/>
      <c r="B69" s="4"/>
    </row>
    <row r="70" spans="1:2" x14ac:dyDescent="0.35">
      <c r="A70" s="3"/>
      <c r="B70" s="4"/>
    </row>
    <row r="71" spans="1:2" x14ac:dyDescent="0.35">
      <c r="A71" s="3"/>
      <c r="B71" s="4"/>
    </row>
    <row r="72" spans="1:2" x14ac:dyDescent="0.35">
      <c r="A72" s="3"/>
      <c r="B72" s="4"/>
    </row>
    <row r="73" spans="1:2" x14ac:dyDescent="0.35">
      <c r="A73" s="3"/>
      <c r="B73" s="4"/>
    </row>
    <row r="74" spans="1:2" x14ac:dyDescent="0.35">
      <c r="A74" s="3"/>
      <c r="B74" s="4"/>
    </row>
    <row r="75" spans="1:2" x14ac:dyDescent="0.35">
      <c r="A75" s="3"/>
      <c r="B75" s="4"/>
    </row>
    <row r="76" spans="1:2" x14ac:dyDescent="0.35">
      <c r="A76" s="3"/>
      <c r="B76" s="4"/>
    </row>
    <row r="77" spans="1:2" x14ac:dyDescent="0.35">
      <c r="A77" s="3"/>
      <c r="B77" s="4"/>
    </row>
    <row r="78" spans="1:2" x14ac:dyDescent="0.35">
      <c r="A78" s="3"/>
      <c r="B78" s="4"/>
    </row>
    <row r="79" spans="1:2" x14ac:dyDescent="0.35">
      <c r="A79" s="3"/>
      <c r="B79" s="4"/>
    </row>
    <row r="80" spans="1:2" x14ac:dyDescent="0.35">
      <c r="A80" s="3"/>
      <c r="B80" s="4"/>
    </row>
    <row r="81" spans="1:2" x14ac:dyDescent="0.35">
      <c r="A81" s="3"/>
      <c r="B81" s="4"/>
    </row>
    <row r="82" spans="1:2" x14ac:dyDescent="0.35">
      <c r="A82" s="3"/>
      <c r="B82" s="4"/>
    </row>
    <row r="83" spans="1:2" x14ac:dyDescent="0.35">
      <c r="A83" s="3"/>
      <c r="B83" s="4"/>
    </row>
    <row r="84" spans="1:2" x14ac:dyDescent="0.35">
      <c r="A84" s="3"/>
      <c r="B84" s="4"/>
    </row>
    <row r="85" spans="1:2" x14ac:dyDescent="0.35">
      <c r="A85" s="3"/>
      <c r="B85" s="4"/>
    </row>
    <row r="86" spans="1:2" x14ac:dyDescent="0.35">
      <c r="A86" s="3"/>
      <c r="B86" s="4"/>
    </row>
    <row r="87" spans="1:2" x14ac:dyDescent="0.35">
      <c r="A87" s="3"/>
      <c r="B87" s="4"/>
    </row>
    <row r="88" spans="1:2" x14ac:dyDescent="0.35">
      <c r="A88" s="3"/>
      <c r="B88" s="4"/>
    </row>
    <row r="89" spans="1:2" x14ac:dyDescent="0.35">
      <c r="A89" s="3"/>
      <c r="B89" s="4"/>
    </row>
    <row r="90" spans="1:2" x14ac:dyDescent="0.35">
      <c r="A90" s="3"/>
      <c r="B90" s="4"/>
    </row>
    <row r="91" spans="1:2" x14ac:dyDescent="0.35">
      <c r="A91" s="3"/>
      <c r="B91" s="4"/>
    </row>
    <row r="92" spans="1:2" x14ac:dyDescent="0.35">
      <c r="A92" s="3"/>
      <c r="B92" s="4"/>
    </row>
    <row r="93" spans="1:2" x14ac:dyDescent="0.35">
      <c r="A93" s="3"/>
      <c r="B93" s="4"/>
    </row>
    <row r="94" spans="1:2" x14ac:dyDescent="0.35">
      <c r="A94" s="3"/>
      <c r="B94" s="4"/>
    </row>
    <row r="95" spans="1:2" x14ac:dyDescent="0.35">
      <c r="A95" s="3"/>
      <c r="B95" s="4"/>
    </row>
    <row r="96" spans="1:2" x14ac:dyDescent="0.35">
      <c r="A96" s="3"/>
      <c r="B96" s="4"/>
    </row>
    <row r="97" spans="1:2" x14ac:dyDescent="0.35">
      <c r="A97" s="3"/>
      <c r="B97" s="4"/>
    </row>
    <row r="98" spans="1:2" x14ac:dyDescent="0.35">
      <c r="A98" s="3"/>
      <c r="B98" s="4"/>
    </row>
    <row r="99" spans="1:2" x14ac:dyDescent="0.35">
      <c r="A99" s="3"/>
      <c r="B99" s="4"/>
    </row>
    <row r="100" spans="1:2" x14ac:dyDescent="0.35">
      <c r="A100" s="3"/>
      <c r="B100" s="4"/>
    </row>
    <row r="101" spans="1:2" x14ac:dyDescent="0.35">
      <c r="A101" s="3"/>
      <c r="B101" s="4"/>
    </row>
    <row r="102" spans="1:2" x14ac:dyDescent="0.35">
      <c r="A102" s="3"/>
      <c r="B102" s="4"/>
    </row>
    <row r="103" spans="1:2" x14ac:dyDescent="0.35">
      <c r="A103" s="3"/>
      <c r="B103" s="4"/>
    </row>
    <row r="104" spans="1:2" x14ac:dyDescent="0.35">
      <c r="A104" s="3"/>
      <c r="B104" s="4"/>
    </row>
    <row r="105" spans="1:2" x14ac:dyDescent="0.35">
      <c r="A105" s="3"/>
      <c r="B105" s="5"/>
    </row>
    <row r="106" spans="1:2" x14ac:dyDescent="0.35">
      <c r="A106" s="3"/>
      <c r="B106" s="5"/>
    </row>
    <row r="107" spans="1:2" x14ac:dyDescent="0.35">
      <c r="A107" s="3"/>
      <c r="B107" s="5"/>
    </row>
    <row r="108" spans="1:2" x14ac:dyDescent="0.35">
      <c r="A108" s="3"/>
      <c r="B108" s="5"/>
    </row>
    <row r="109" spans="1:2" x14ac:dyDescent="0.35">
      <c r="A109" s="3"/>
      <c r="B109" s="5"/>
    </row>
    <row r="110" spans="1:2" x14ac:dyDescent="0.35">
      <c r="A110" s="3"/>
      <c r="B110" s="5"/>
    </row>
    <row r="111" spans="1:2" x14ac:dyDescent="0.35">
      <c r="A111" s="3"/>
    </row>
    <row r="112" spans="1:2" x14ac:dyDescent="0.35">
      <c r="A112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C9"/>
  <sheetViews>
    <sheetView workbookViewId="0">
      <selection activeCell="B11" sqref="B11"/>
    </sheetView>
  </sheetViews>
  <sheetFormatPr defaultRowHeight="14.5" x14ac:dyDescent="0.35"/>
  <cols>
    <col min="1" max="1" width="28.90625" bestFit="1" customWidth="1"/>
    <col min="2" max="2" width="20.453125" bestFit="1" customWidth="1"/>
  </cols>
  <sheetData>
    <row r="1" spans="1:3" x14ac:dyDescent="0.35">
      <c r="A1" s="14" t="s">
        <v>5</v>
      </c>
      <c r="B1" s="14" t="s">
        <v>10</v>
      </c>
      <c r="C1" s="2"/>
    </row>
    <row r="2" spans="1:3" x14ac:dyDescent="0.35">
      <c r="A2" t="s">
        <v>6</v>
      </c>
      <c r="B2" s="2"/>
      <c r="C2" s="2"/>
    </row>
    <row r="3" spans="1:3" x14ac:dyDescent="0.35">
      <c r="A3" t="s">
        <v>7</v>
      </c>
      <c r="B3" s="2"/>
      <c r="C3" s="2"/>
    </row>
    <row r="4" spans="1:3" x14ac:dyDescent="0.35">
      <c r="B4" t="s">
        <v>8</v>
      </c>
      <c r="C4" s="2"/>
    </row>
    <row r="5" spans="1:3" x14ac:dyDescent="0.35">
      <c r="B5" t="s">
        <v>9</v>
      </c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Diagnostics</vt:lpstr>
      <vt:lpstr>Output_model</vt:lpstr>
      <vt:lpstr>Output_df2</vt:lpstr>
      <vt:lpstr>Output_df1</vt:lpstr>
      <vt:lpstr>Output_df0</vt:lpstr>
      <vt:lpstr>Control</vt:lpstr>
      <vt:lpstr>Input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2026-01-27T13:15:06Z</dcterms:modified>
</cp:coreProperties>
</file>